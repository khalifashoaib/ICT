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\Downloads\lab work\"/>
    </mc:Choice>
  </mc:AlternateContent>
  <xr:revisionPtr revIDLastSave="0" documentId="13_ncr:1_{D098ADED-0A82-4441-974D-B2CCD5FAE01E}" xr6:coauthVersionLast="47" xr6:coauthVersionMax="47" xr10:uidLastSave="{00000000-0000-0000-0000-000000000000}"/>
  <bookViews>
    <workbookView xWindow="-120" yWindow="-120" windowWidth="20730" windowHeight="11310" xr2:uid="{35E07D83-6F97-40C0-A389-B43F90FF083C}"/>
  </bookViews>
  <sheets>
    <sheet name="Sheet2" sheetId="10" r:id="rId1"/>
    <sheet name="Data0" sheetId="8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G15" i="8"/>
  <c r="G16" i="8"/>
  <c r="B19" i="8"/>
  <c r="G3" i="8"/>
  <c r="G4" i="8"/>
  <c r="G5" i="8"/>
  <c r="G6" i="8"/>
  <c r="G7" i="8"/>
  <c r="G8" i="8"/>
  <c r="G9" i="8"/>
  <c r="G10" i="8"/>
  <c r="G11" i="8"/>
  <c r="G2" i="8"/>
  <c r="H2" i="8"/>
  <c r="I2" i="8" s="1"/>
  <c r="H8" i="8"/>
  <c r="H10" i="8"/>
  <c r="H4" i="8"/>
  <c r="I4" i="8" s="1"/>
  <c r="H7" i="8"/>
  <c r="I7" i="8" s="1"/>
  <c r="H3" i="8"/>
  <c r="I3" i="8" s="1"/>
  <c r="H9" i="8"/>
  <c r="I9" i="8" s="1"/>
  <c r="H11" i="8"/>
  <c r="I11" i="8" s="1"/>
  <c r="H6" i="8"/>
  <c r="I6" i="8" s="1"/>
  <c r="I8" i="8"/>
  <c r="I10" i="8"/>
  <c r="H5" i="8"/>
  <c r="I5" i="8" s="1"/>
</calcChain>
</file>

<file path=xl/sharedStrings.xml><?xml version="1.0" encoding="utf-8"?>
<sst xmlns="http://schemas.openxmlformats.org/spreadsheetml/2006/main" count="39" uniqueCount="29">
  <si>
    <t>Student Name</t>
  </si>
  <si>
    <t>Roll No</t>
  </si>
  <si>
    <t>Gender</t>
  </si>
  <si>
    <t>Subject 1</t>
  </si>
  <si>
    <t>Subject 2</t>
  </si>
  <si>
    <t>Subject 3</t>
  </si>
  <si>
    <t>Total</t>
  </si>
  <si>
    <t>Average</t>
  </si>
  <si>
    <t>Grade</t>
  </si>
  <si>
    <t>Ayesha Khan</t>
  </si>
  <si>
    <t>F</t>
  </si>
  <si>
    <t>B</t>
  </si>
  <si>
    <t>Bilal Ahmed</t>
  </si>
  <si>
    <t>M</t>
  </si>
  <si>
    <t>A</t>
  </si>
  <si>
    <t>Fatima Noor</t>
  </si>
  <si>
    <t>Hamza Tariq</t>
  </si>
  <si>
    <t>C</t>
  </si>
  <si>
    <t>Sara Malik</t>
  </si>
  <si>
    <t>Ali Raza</t>
  </si>
  <si>
    <t>Maryam Zafar</t>
  </si>
  <si>
    <t>Ahmed Farooq</t>
  </si>
  <si>
    <t>Hira Iqbal</t>
  </si>
  <si>
    <t>Usman Khalid</t>
  </si>
  <si>
    <t>Enter roll no.</t>
  </si>
  <si>
    <t>Marks</t>
  </si>
  <si>
    <t>Row Labels</t>
  </si>
  <si>
    <t>Grand Total</t>
  </si>
  <si>
    <t>Average of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</si>
</sst>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6">
    <dxf>
      <numFmt numFmtId="164" formatCode="0.0"/>
    </dxf>
    <dxf>
      <numFmt numFmtId="164" formatCode="0.0"/>
    </dxf>
    <dxf>
      <numFmt numFmtId="164" formatCode="0.0"/>
    </dxf>
    <dxf>
      <font>
        <color theme="0"/>
      </font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Data0!$G$2:$G$11</c:f>
              <c:numCache>
                <c:formatCode>General</c:formatCode>
                <c:ptCount val="10"/>
                <c:pt idx="0">
                  <c:v>270</c:v>
                </c:pt>
                <c:pt idx="1">
                  <c:v>263</c:v>
                </c:pt>
                <c:pt idx="2">
                  <c:v>245</c:v>
                </c:pt>
                <c:pt idx="3">
                  <c:v>237</c:v>
                </c:pt>
                <c:pt idx="4">
                  <c:v>231</c:v>
                </c:pt>
                <c:pt idx="5">
                  <c:v>217</c:v>
                </c:pt>
                <c:pt idx="6">
                  <c:v>203</c:v>
                </c:pt>
                <c:pt idx="7">
                  <c:v>184</c:v>
                </c:pt>
                <c:pt idx="8">
                  <c:v>173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F-43EF-8155-F04E7BF0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795408"/>
        <c:axId val="1301796848"/>
      </c:barChart>
      <c:catAx>
        <c:axId val="1301795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01796848"/>
        <c:crosses val="autoZero"/>
        <c:auto val="1"/>
        <c:lblAlgn val="ctr"/>
        <c:lblOffset val="100"/>
        <c:noMultiLvlLbl val="0"/>
      </c:catAx>
      <c:valAx>
        <c:axId val="130179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0179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1</xdr:row>
      <xdr:rowOff>23812</xdr:rowOff>
    </xdr:from>
    <xdr:to>
      <xdr:col>18</xdr:col>
      <xdr:colOff>276225</xdr:colOff>
      <xdr:row>12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0BC1FD-6FE0-CED2-B8C8-4F725CA08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alifa Shoaib" refreshedDate="45944.469814236109" createdVersion="8" refreshedVersion="8" minRefreshableVersion="3" recordCount="10" xr:uid="{AAEEF419-F704-4810-8A44-0537645D5E8B}">
  <cacheSource type="worksheet">
    <worksheetSource ref="A1:I11" sheet="Data0"/>
  </cacheSource>
  <cacheFields count="9">
    <cacheField name="Student Name" numFmtId="0">
      <sharedItems/>
    </cacheField>
    <cacheField name="Roll No" numFmtId="0">
      <sharedItems containsSemiMixedTypes="0" containsString="0" containsNumber="1" containsInteger="1" minValue="101" maxValue="110"/>
    </cacheField>
    <cacheField name="Gender" numFmtId="0">
      <sharedItems count="2">
        <s v="M"/>
        <s v="F"/>
      </sharedItems>
    </cacheField>
    <cacheField name="Subject 1" numFmtId="0">
      <sharedItems containsSemiMixedTypes="0" containsString="0" containsNumber="1" containsInteger="1" minValue="49" maxValue="92"/>
    </cacheField>
    <cacheField name="Subject 2" numFmtId="0">
      <sharedItems containsSemiMixedTypes="0" containsString="0" containsNumber="1" containsInteger="1" minValue="55" maxValue="90"/>
    </cacheField>
    <cacheField name="Subject 3" numFmtId="0">
      <sharedItems containsSemiMixedTypes="0" containsString="0" containsNumber="1" containsInteger="1" minValue="53" maxValue="90"/>
    </cacheField>
    <cacheField name="Total" numFmtId="0">
      <sharedItems containsSemiMixedTypes="0" containsString="0" containsNumber="1" containsInteger="1" minValue="157" maxValue="270"/>
    </cacheField>
    <cacheField name="Average" numFmtId="0">
      <sharedItems containsSemiMixedTypes="0" containsString="0" containsNumber="1" minValue="52.333333333333336" maxValue="90"/>
    </cacheField>
    <cacheField name="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Bilal Ahmed"/>
    <n v="102"/>
    <x v="0"/>
    <n v="92"/>
    <n v="88"/>
    <n v="90"/>
    <n v="270"/>
    <n v="90"/>
    <s v="A"/>
  </r>
  <r>
    <s v="Maryam Zafar"/>
    <n v="107"/>
    <x v="1"/>
    <n v="88"/>
    <n v="90"/>
    <n v="85"/>
    <n v="263"/>
    <n v="87.666666666666671"/>
    <s v="A"/>
  </r>
  <r>
    <s v="Sara Malik"/>
    <n v="105"/>
    <x v="1"/>
    <n v="81"/>
    <n v="79"/>
    <n v="85"/>
    <n v="245"/>
    <n v="81.666666666666671"/>
    <s v="A"/>
  </r>
  <r>
    <s v="Ayesha Khan"/>
    <n v="101"/>
    <x v="1"/>
    <n v="78"/>
    <n v="85"/>
    <n v="74"/>
    <n v="237"/>
    <n v="79"/>
    <s v="B"/>
  </r>
  <r>
    <s v="Usman Khalid"/>
    <n v="110"/>
    <x v="0"/>
    <n v="77"/>
    <n v="80"/>
    <n v="74"/>
    <n v="231"/>
    <n v="77"/>
    <s v="B"/>
  </r>
  <r>
    <s v="Ali Raza"/>
    <n v="106"/>
    <x v="0"/>
    <n v="73"/>
    <n v="69"/>
    <n v="75"/>
    <n v="217"/>
    <n v="72.333333333333329"/>
    <s v="B"/>
  </r>
  <r>
    <s v="Fatima Noor"/>
    <n v="103"/>
    <x v="1"/>
    <n v="65"/>
    <n v="70"/>
    <n v="68"/>
    <n v="203"/>
    <n v="67.666666666666671"/>
    <s v="B"/>
  </r>
  <r>
    <s v="Ahmed Farooq"/>
    <n v="108"/>
    <x v="0"/>
    <n v="61"/>
    <n v="64"/>
    <n v="59"/>
    <n v="184"/>
    <n v="61.333333333333336"/>
    <s v="B"/>
  </r>
  <r>
    <s v="Hamza Tariq"/>
    <n v="104"/>
    <x v="0"/>
    <n v="55"/>
    <n v="58"/>
    <n v="60"/>
    <n v="173"/>
    <n v="57.666666666666664"/>
    <s v="C"/>
  </r>
  <r>
    <s v="Hira Iqbal"/>
    <n v="109"/>
    <x v="1"/>
    <n v="49"/>
    <n v="55"/>
    <n v="53"/>
    <n v="157"/>
    <n v="52.333333333333336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1A729-E881-45C4-9E45-0EE35170CDF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Average" fld="7" subtotal="average" baseField="2" baseItem="0"/>
  </dataFields>
  <formats count="3">
    <format dxfId="2">
      <pivotArea collapsedLevelsAreSubtotals="1" fieldPosition="0">
        <references count="1">
          <reference field="2" count="1">
            <x v="0"/>
          </reference>
        </references>
      </pivotArea>
    </format>
    <format dxfId="1">
      <pivotArea collapsedLevelsAreSubtotals="1" fieldPosition="0">
        <references count="1">
          <reference field="2" count="1">
            <x v="1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E25F-1C22-49AC-8368-6C20BD7E6D4A}">
  <dimension ref="A3:B6"/>
  <sheetViews>
    <sheetView tabSelected="1" workbookViewId="0">
      <selection activeCell="B6" sqref="B6"/>
    </sheetView>
  </sheetViews>
  <sheetFormatPr defaultRowHeight="15" x14ac:dyDescent="0.25"/>
  <cols>
    <col min="1" max="1" width="13.42578125" bestFit="1" customWidth="1"/>
    <col min="2" max="2" width="18.28515625" bestFit="1" customWidth="1"/>
  </cols>
  <sheetData>
    <row r="3" spans="1:2" x14ac:dyDescent="0.25">
      <c r="A3" s="4" t="s">
        <v>26</v>
      </c>
      <c r="B3" t="s">
        <v>28</v>
      </c>
    </row>
    <row r="4" spans="1:2" x14ac:dyDescent="0.25">
      <c r="A4" s="5" t="s">
        <v>10</v>
      </c>
      <c r="B4" s="6">
        <v>73.666666666666657</v>
      </c>
    </row>
    <row r="5" spans="1:2" x14ac:dyDescent="0.25">
      <c r="A5" s="5" t="s">
        <v>13</v>
      </c>
      <c r="B5" s="6">
        <v>71.666666666666657</v>
      </c>
    </row>
    <row r="6" spans="1:2" x14ac:dyDescent="0.25">
      <c r="A6" s="5" t="s">
        <v>27</v>
      </c>
      <c r="B6" s="6">
        <v>72.666666666666657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8C06-1566-4767-ABE7-AAE6B3EFA6F5}">
  <dimension ref="A1:J19"/>
  <sheetViews>
    <sheetView workbookViewId="0">
      <selection activeCell="A3" sqref="A1:I11"/>
    </sheetView>
  </sheetViews>
  <sheetFormatPr defaultRowHeight="15" x14ac:dyDescent="0.25"/>
  <cols>
    <col min="1" max="1" width="12.7109375" bestFit="1" customWidth="1"/>
    <col min="2" max="2" width="7.28515625" bestFit="1" customWidth="1"/>
    <col min="4" max="4" width="9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 t="s">
        <v>12</v>
      </c>
      <c r="B2" s="2">
        <v>102</v>
      </c>
      <c r="C2" s="2" t="s">
        <v>13</v>
      </c>
      <c r="D2" s="2">
        <v>92</v>
      </c>
      <c r="E2" s="2">
        <v>88</v>
      </c>
      <c r="F2" s="2">
        <v>90</v>
      </c>
      <c r="G2" s="2">
        <f>SUM(D2:F2)</f>
        <v>270</v>
      </c>
      <c r="H2" s="2">
        <f>AVERAGE(D2:F2)</f>
        <v>90</v>
      </c>
      <c r="I2" s="2" t="str">
        <f>IF(H2&gt;=80,"A",IF(H2&gt;=60,"B","C"))</f>
        <v>A</v>
      </c>
      <c r="J2" s="3"/>
    </row>
    <row r="3" spans="1:10" ht="30" x14ac:dyDescent="0.25">
      <c r="A3" s="2" t="s">
        <v>20</v>
      </c>
      <c r="B3" s="2">
        <v>107</v>
      </c>
      <c r="C3" s="2" t="s">
        <v>10</v>
      </c>
      <c r="D3" s="2">
        <v>88</v>
      </c>
      <c r="E3" s="2">
        <v>90</v>
      </c>
      <c r="F3" s="2">
        <v>85</v>
      </c>
      <c r="G3" s="2">
        <f t="shared" ref="G3:G11" si="0">SUM(D3:F3)</f>
        <v>263</v>
      </c>
      <c r="H3" s="2">
        <f>AVERAGE(D3:F3)</f>
        <v>87.666666666666671</v>
      </c>
      <c r="I3" s="2" t="str">
        <f>IF(H3&gt;=80,"A",IF(H3&gt;=60,"B","C"))</f>
        <v>A</v>
      </c>
      <c r="J3" s="3"/>
    </row>
    <row r="4" spans="1:10" x14ac:dyDescent="0.25">
      <c r="A4" s="2" t="s">
        <v>18</v>
      </c>
      <c r="B4" s="2">
        <v>105</v>
      </c>
      <c r="C4" s="2" t="s">
        <v>10</v>
      </c>
      <c r="D4" s="2">
        <v>81</v>
      </c>
      <c r="E4" s="2">
        <v>79</v>
      </c>
      <c r="F4" s="2">
        <v>85</v>
      </c>
      <c r="G4" s="2">
        <f t="shared" si="0"/>
        <v>245</v>
      </c>
      <c r="H4" s="2">
        <f>AVERAGE(D4:F4)</f>
        <v>81.666666666666671</v>
      </c>
      <c r="I4" s="2" t="str">
        <f>IF(H4&gt;=80,"A",IF(H4&gt;=60,"B","C"))</f>
        <v>A</v>
      </c>
      <c r="J4" s="3"/>
    </row>
    <row r="5" spans="1:10" x14ac:dyDescent="0.25">
      <c r="A5" s="2" t="s">
        <v>9</v>
      </c>
      <c r="B5" s="2">
        <v>101</v>
      </c>
      <c r="C5" s="2" t="s">
        <v>10</v>
      </c>
      <c r="D5" s="2">
        <v>78</v>
      </c>
      <c r="E5" s="2">
        <v>85</v>
      </c>
      <c r="F5" s="2">
        <v>74</v>
      </c>
      <c r="G5" s="2">
        <f t="shared" si="0"/>
        <v>237</v>
      </c>
      <c r="H5" s="2">
        <f>AVERAGE(D5:F5)</f>
        <v>79</v>
      </c>
      <c r="I5" s="2" t="str">
        <f>IF(H5&gt;=80,"A",IF(H5&gt;=60,"B","C"))</f>
        <v>B</v>
      </c>
      <c r="J5" s="3"/>
    </row>
    <row r="6" spans="1:10" ht="30" x14ac:dyDescent="0.25">
      <c r="A6" s="2" t="s">
        <v>23</v>
      </c>
      <c r="B6" s="2">
        <v>110</v>
      </c>
      <c r="C6" s="2" t="s">
        <v>13</v>
      </c>
      <c r="D6" s="2">
        <v>77</v>
      </c>
      <c r="E6" s="2">
        <v>80</v>
      </c>
      <c r="F6" s="2">
        <v>74</v>
      </c>
      <c r="G6" s="2">
        <f t="shared" si="0"/>
        <v>231</v>
      </c>
      <c r="H6" s="2">
        <f>AVERAGE(D6:F6)</f>
        <v>77</v>
      </c>
      <c r="I6" s="2" t="str">
        <f>IF(H6&gt;=80,"A",IF(H6&gt;=60,"B","C"))</f>
        <v>B</v>
      </c>
      <c r="J6" s="3"/>
    </row>
    <row r="7" spans="1:10" x14ac:dyDescent="0.25">
      <c r="A7" s="2" t="s">
        <v>19</v>
      </c>
      <c r="B7" s="2">
        <v>106</v>
      </c>
      <c r="C7" s="2" t="s">
        <v>13</v>
      </c>
      <c r="D7" s="2">
        <v>73</v>
      </c>
      <c r="E7" s="2">
        <v>69</v>
      </c>
      <c r="F7" s="2">
        <v>75</v>
      </c>
      <c r="G7" s="2">
        <f t="shared" si="0"/>
        <v>217</v>
      </c>
      <c r="H7" s="2">
        <f>AVERAGE(D7:F7)</f>
        <v>72.333333333333329</v>
      </c>
      <c r="I7" s="2" t="str">
        <f>IF(H7&gt;=80,"A",IF(H7&gt;=60,"B","C"))</f>
        <v>B</v>
      </c>
      <c r="J7" s="3"/>
    </row>
    <row r="8" spans="1:10" x14ac:dyDescent="0.25">
      <c r="A8" s="2" t="s">
        <v>15</v>
      </c>
      <c r="B8" s="2">
        <v>103</v>
      </c>
      <c r="C8" s="2" t="s">
        <v>10</v>
      </c>
      <c r="D8" s="2">
        <v>65</v>
      </c>
      <c r="E8" s="2">
        <v>70</v>
      </c>
      <c r="F8" s="2">
        <v>68</v>
      </c>
      <c r="G8" s="2">
        <f t="shared" si="0"/>
        <v>203</v>
      </c>
      <c r="H8" s="2">
        <f>AVERAGE(D8:F8)</f>
        <v>67.666666666666671</v>
      </c>
      <c r="I8" s="2" t="str">
        <f>IF(H8&gt;=80,"A",IF(H8&gt;=60,"B","C"))</f>
        <v>B</v>
      </c>
      <c r="J8" s="3"/>
    </row>
    <row r="9" spans="1:10" ht="30" x14ac:dyDescent="0.25">
      <c r="A9" s="2" t="s">
        <v>21</v>
      </c>
      <c r="B9" s="2">
        <v>108</v>
      </c>
      <c r="C9" s="2" t="s">
        <v>13</v>
      </c>
      <c r="D9" s="2">
        <v>61</v>
      </c>
      <c r="E9" s="2">
        <v>64</v>
      </c>
      <c r="F9" s="2">
        <v>59</v>
      </c>
      <c r="G9" s="2">
        <f t="shared" si="0"/>
        <v>184</v>
      </c>
      <c r="H9" s="2">
        <f>AVERAGE(D9:F9)</f>
        <v>61.333333333333336</v>
      </c>
      <c r="I9" s="2" t="str">
        <f>IF(H9&gt;=80,"A",IF(H9&gt;=60,"B","C"))</f>
        <v>B</v>
      </c>
      <c r="J9" s="3"/>
    </row>
    <row r="10" spans="1:10" x14ac:dyDescent="0.25">
      <c r="A10" s="2" t="s">
        <v>16</v>
      </c>
      <c r="B10" s="2">
        <v>104</v>
      </c>
      <c r="C10" s="2" t="s">
        <v>13</v>
      </c>
      <c r="D10" s="2">
        <v>55</v>
      </c>
      <c r="E10" s="2">
        <v>58</v>
      </c>
      <c r="F10" s="2">
        <v>60</v>
      </c>
      <c r="G10" s="2">
        <f t="shared" si="0"/>
        <v>173</v>
      </c>
      <c r="H10" s="2">
        <f>AVERAGE(D10:F10)</f>
        <v>57.666666666666664</v>
      </c>
      <c r="I10" s="2" t="str">
        <f>IF(H10&gt;=80,"A",IF(H10&gt;=60,"B","C"))</f>
        <v>C</v>
      </c>
      <c r="J10" s="3"/>
    </row>
    <row r="11" spans="1:10" x14ac:dyDescent="0.25">
      <c r="A11" s="2" t="s">
        <v>22</v>
      </c>
      <c r="B11" s="2">
        <v>109</v>
      </c>
      <c r="C11" s="2" t="s">
        <v>10</v>
      </c>
      <c r="D11" s="2">
        <v>49</v>
      </c>
      <c r="E11" s="2">
        <v>55</v>
      </c>
      <c r="F11" s="2">
        <v>53</v>
      </c>
      <c r="G11" s="2">
        <f t="shared" si="0"/>
        <v>157</v>
      </c>
      <c r="H11" s="2">
        <f>AVERAGE(D11:F11)</f>
        <v>52.333333333333336</v>
      </c>
      <c r="I11" s="2" t="str">
        <f>IF(H11&gt;=80,"A",IF(H11&gt;=60,"B","C"))</f>
        <v>C</v>
      </c>
      <c r="J11" s="3"/>
    </row>
    <row r="14" spans="1:10" x14ac:dyDescent="0.25">
      <c r="F14" t="s">
        <v>14</v>
      </c>
      <c r="G14">
        <f>(COUNTIF(I2:I11,F14))</f>
        <v>3</v>
      </c>
    </row>
    <row r="15" spans="1:10" x14ac:dyDescent="0.25">
      <c r="F15" t="s">
        <v>11</v>
      </c>
      <c r="G15">
        <f t="shared" ref="G15:G16" si="1">(COUNTIF(I3:I12,F15))</f>
        <v>5</v>
      </c>
    </row>
    <row r="16" spans="1:10" x14ac:dyDescent="0.25">
      <c r="F16" t="s">
        <v>17</v>
      </c>
      <c r="G16">
        <f t="shared" si="1"/>
        <v>2</v>
      </c>
    </row>
    <row r="18" spans="1:2" x14ac:dyDescent="0.25">
      <c r="A18" t="s">
        <v>24</v>
      </c>
      <c r="B18">
        <v>102</v>
      </c>
    </row>
    <row r="19" spans="1:2" x14ac:dyDescent="0.25">
      <c r="A19" t="s">
        <v>25</v>
      </c>
      <c r="B19">
        <f>VLOOKUP(B18, B2:H11, 6, FALSE)</f>
        <v>270</v>
      </c>
    </row>
  </sheetData>
  <sortState xmlns:xlrd2="http://schemas.microsoft.com/office/spreadsheetml/2017/richdata2" ref="A2:I11">
    <sortCondition descending="1" ref="H2:H11"/>
  </sortState>
  <conditionalFormatting sqref="I1:I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{E2A8D692-1DA2-41F5-BC03-5E9ED631EBAE}</x14:id>
        </ext>
      </extLst>
    </cfRule>
    <cfRule type="expression" priority="5">
      <formula>$I2="A"</formula>
    </cfRule>
  </conditionalFormatting>
  <conditionalFormatting sqref="I2:I11">
    <cfRule type="containsText" dxfId="5" priority="1" operator="containsText" text="C">
      <formula>NOT(ISERROR(SEARCH("C",I2)))</formula>
    </cfRule>
    <cfRule type="containsText" dxfId="4" priority="2" operator="containsText" text="A">
      <formula>NOT(ISERROR(SEARCH("A",I2)))</formula>
    </cfRule>
    <cfRule type="expression" dxfId="3" priority="3">
      <formula>$I2="A"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A8D692-1DA2-41F5-BC03-5E9ED631EB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Data0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Moeen Uddin</dc:creator>
  <cp:lastModifiedBy>Khalifa Shoaib</cp:lastModifiedBy>
  <dcterms:created xsi:type="dcterms:W3CDTF">2025-10-06T18:06:45Z</dcterms:created>
  <dcterms:modified xsi:type="dcterms:W3CDTF">2025-10-14T06:19:32Z</dcterms:modified>
</cp:coreProperties>
</file>